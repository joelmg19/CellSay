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PR_NL">'RELEVANCIA-PUNTAJE'!$E$5</definedName>
    <definedName name="PR">'RELEVANCIA-PUNTAJE'!$A$5</definedName>
    <definedName name="PR_ML">'RELEVANCIA-PUNTAJE'!$D$5</definedName>
    <definedName name="PR_TL">'RELEVANCIA-PUNTAJE'!$B$5</definedName>
    <definedName name="RE_NL">'RELEVANCIA-PUNTAJE'!$E$4</definedName>
    <definedName name="L">'RELEVANCIA-PUNTAJE'!$C$2</definedName>
    <definedName name="MR_ML">'RELEVANCIA-PUNTAJE'!$D$3</definedName>
    <definedName name="MR_NL">'RELEVANCIA-PUNTAJE'!$E$3</definedName>
    <definedName name="RE_TL">'RELEVANCIA-PUNTAJE'!$B$4</definedName>
    <definedName name="ML">'RELEVANCIA-PUNTAJE'!$D$2</definedName>
    <definedName name="MR_TL">'RELEVANCIA-PUNTAJE'!$B$3</definedName>
    <definedName name="MR">'RELEVANCIA-PUNTAJE'!$A$3</definedName>
    <definedName name="CL">'RELEVANCIA-PUNTAJE'!$B$2</definedName>
    <definedName name="MR_L">'RELEVANCIA-PUNTAJE'!$C$3</definedName>
    <definedName name="RE">'RELEVANCIA-PUNTAJE'!$A$4</definedName>
    <definedName name="TL">'RELEVANCIA-PUNTAJE'!$B$2</definedName>
    <definedName name="MR_CL">'RELEVANCIA-PUNTAJE'!$B$3</definedName>
    <definedName name="RE_ML">'RELEVANCIA-PUNTAJE'!$D$4</definedName>
    <definedName name="NL">'RELEVANCIA-PUNTAJE'!$E$2</definedName>
  </definedNames>
  <calcPr/>
</workbook>
</file>

<file path=xl/sharedStrings.xml><?xml version="1.0" encoding="utf-8"?>
<sst xmlns="http://schemas.openxmlformats.org/spreadsheetml/2006/main" count="234" uniqueCount="68">
  <si>
    <t>INTEGRANTES</t>
  </si>
  <si>
    <t>Nota docente asignatura</t>
  </si>
  <si>
    <t>Nota comision</t>
  </si>
  <si>
    <t>Nota final</t>
  </si>
  <si>
    <t>FERNANDO JOSE AREVALO ARCE</t>
  </si>
  <si>
    <t>JOSUE NASHREM CHOQUE CHOQUE</t>
  </si>
  <si>
    <t>JOEL FRANCISCO MATAMALA GONZALEZ</t>
  </si>
  <si>
    <t>HARRY ALBERTH RUIZ IPARRAGUIRRE</t>
  </si>
  <si>
    <t>BRUNO ZAMORANO VARGAS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</si>
  <si>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</si>
  <si>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</si>
  <si>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</si>
  <si>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</si>
  <si>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</si>
  <si>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</si>
  <si>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</si>
  <si>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</si>
  <si>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</si>
  <si>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</si>
  <si>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2</t>
  </si>
  <si>
    <t>COMISION 3</t>
  </si>
  <si>
    <t>COMISION 4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</si>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</sst>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4.8</v>
      </c>
      <c r="D4" s="11">
        <f>C86</f>
        <v>5.1</v>
      </c>
      <c r="E4" s="12">
        <f t="shared" ref="E4:E8" si="1">C4*C$2+D4*D$2</f>
        <v>4.89</v>
      </c>
    </row>
    <row r="5">
      <c r="A5" s="8">
        <v>2.0</v>
      </c>
      <c r="B5" s="9" t="s">
        <v>5</v>
      </c>
      <c r="C5" s="10">
        <f>C34</f>
        <v>4.8</v>
      </c>
      <c r="D5" s="11">
        <f>C99</f>
        <v>5.1</v>
      </c>
      <c r="E5" s="12">
        <f t="shared" si="1"/>
        <v>4.89</v>
      </c>
    </row>
    <row r="6">
      <c r="A6" s="8">
        <v>3.0</v>
      </c>
      <c r="B6" s="9" t="s">
        <v>6</v>
      </c>
      <c r="C6" s="10">
        <f>C47</f>
        <v>4.8</v>
      </c>
      <c r="D6" s="11">
        <f>C112</f>
        <v>5.1</v>
      </c>
      <c r="E6" s="12">
        <f t="shared" si="1"/>
        <v>4.89</v>
      </c>
    </row>
    <row r="7" ht="15.0" customHeight="1">
      <c r="A7" s="8">
        <v>4.0</v>
      </c>
      <c r="B7" s="9" t="s">
        <v>7</v>
      </c>
      <c r="C7" s="10">
        <f>C60</f>
        <v>4.8</v>
      </c>
      <c r="D7" s="11">
        <f>C125</f>
        <v>5.1</v>
      </c>
      <c r="E7" s="12">
        <f t="shared" si="1"/>
        <v>4.89</v>
      </c>
    </row>
    <row r="8" ht="15.0" customHeight="1">
      <c r="A8" s="8">
        <v>5.0</v>
      </c>
      <c r="B8" s="9" t="s">
        <v>8</v>
      </c>
      <c r="C8" s="10">
        <f>C73</f>
        <v>4.8</v>
      </c>
      <c r="D8" s="11">
        <f>C138</f>
        <v>5.1</v>
      </c>
      <c r="E8" s="12">
        <f t="shared" si="1"/>
        <v>4.89</v>
      </c>
    </row>
    <row r="11" outlineLevel="1">
      <c r="A11" s="13" t="s">
        <v>9</v>
      </c>
      <c r="B11" s="14" t="str">
        <f>B4</f>
        <v>FERNANDO JOSE AREVALO ARCE</v>
      </c>
      <c r="C11" s="15" t="s">
        <v>10</v>
      </c>
      <c r="D11" s="16" t="s">
        <v>11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12</v>
      </c>
      <c r="C12" s="21"/>
      <c r="D12" s="16" t="s">
        <v>13</v>
      </c>
      <c r="E12" s="18"/>
      <c r="F12" s="16" t="s">
        <v>14</v>
      </c>
      <c r="G12" s="18"/>
      <c r="H12" s="16" t="s">
        <v>15</v>
      </c>
      <c r="I12" s="18"/>
      <c r="J12" s="16" t="s">
        <v>16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14</v>
      </c>
      <c r="D13" s="24" t="str">
        <f>IF($C13=CL,"X","")</f>
        <v/>
      </c>
      <c r="E13" s="24" t="str">
        <f>IF(D13="X",100*0.15,"")</f>
        <v/>
      </c>
      <c r="F13" s="24" t="str">
        <f>IF($C13=L,"X","")</f>
        <v>X</v>
      </c>
      <c r="G13" s="24">
        <f>IF(F13="X",60*0.15,"")</f>
        <v>9</v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14</v>
      </c>
      <c r="D14" s="24" t="str">
        <f>IF($C14=CL,"X","")</f>
        <v/>
      </c>
      <c r="E14" s="24" t="str">
        <f>IF(D14="X",100*0.25,"")</f>
        <v/>
      </c>
      <c r="F14" s="24" t="str">
        <f>IF($C14=L,"X","")</f>
        <v>X</v>
      </c>
      <c r="G14" s="24">
        <f>IF(F14="X",60*0.25,"")</f>
        <v>15</v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14</v>
      </c>
      <c r="D15" s="24" t="str">
        <f>IF($C15=CL,"X","")</f>
        <v/>
      </c>
      <c r="E15" s="24" t="str">
        <f>IF(D15="X",100*0.2,"")</f>
        <v/>
      </c>
      <c r="F15" s="24" t="str">
        <f>IF($C15=L,"X","")</f>
        <v>X</v>
      </c>
      <c r="G15" s="24">
        <f>IF(F15="X",60*0.2,"")</f>
        <v>12</v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13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14</v>
      </c>
      <c r="D17" s="24" t="str">
        <f>IF($C17=CL,"X","")</f>
        <v/>
      </c>
      <c r="E17" s="24" t="str">
        <f t="shared" si="3"/>
        <v/>
      </c>
      <c r="F17" s="24" t="str">
        <f>IF($C17=L,"X","")</f>
        <v>X</v>
      </c>
      <c r="G17" s="24">
        <f t="shared" si="4"/>
        <v>3</v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13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14</v>
      </c>
      <c r="D19" s="24" t="str">
        <f>IF($C19=CL,"X","")</f>
        <v/>
      </c>
      <c r="E19" s="24" t="str">
        <f>IF(D19="X",100*0.1,"")</f>
        <v/>
      </c>
      <c r="F19" s="24" t="str">
        <f>IF($C19=L,"X","")</f>
        <v>X</v>
      </c>
      <c r="G19" s="24">
        <f>IF(F19="X",60*0.1,"")</f>
        <v>6</v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17</v>
      </c>
      <c r="C20" s="26">
        <f>E20+G20+I20+K20</f>
        <v>70</v>
      </c>
      <c r="D20" s="27"/>
      <c r="E20" s="27">
        <f>SUM(E13:E19)</f>
        <v>25</v>
      </c>
      <c r="F20" s="27"/>
      <c r="G20" s="27">
        <f>SUM(G13:G19)</f>
        <v>45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18</v>
      </c>
      <c r="C21" s="29">
        <f>VLOOKUP(C20,ESCALA_IEP!A2:B202,2,FALSE)</f>
        <v>4.8</v>
      </c>
    </row>
    <row r="22" ht="15.75" customHeight="1"/>
    <row r="23" ht="15.75" customHeight="1"/>
    <row r="24" ht="24.0" customHeight="1">
      <c r="A24" s="13" t="s">
        <v>9</v>
      </c>
      <c r="B24" s="14" t="str">
        <f>B5</f>
        <v>JOSUE NASHREM CHOQUE CHOQUE</v>
      </c>
      <c r="C24" s="15" t="s">
        <v>10</v>
      </c>
      <c r="D24" s="16" t="s">
        <v>11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12</v>
      </c>
      <c r="C25" s="21"/>
      <c r="D25" s="16" t="s">
        <v>13</v>
      </c>
      <c r="E25" s="18"/>
      <c r="F25" s="16" t="s">
        <v>14</v>
      </c>
      <c r="G25" s="18"/>
      <c r="H25" s="16" t="s">
        <v>15</v>
      </c>
      <c r="I25" s="18"/>
      <c r="J25" s="16" t="s">
        <v>16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14</v>
      </c>
      <c r="D26" s="24" t="str">
        <f>IF($C26=CL,"X","")</f>
        <v/>
      </c>
      <c r="E26" s="24" t="str">
        <f>IF(D26="X",100*0.15,"")</f>
        <v/>
      </c>
      <c r="F26" s="24" t="str">
        <f>IF($C26=L,"X","")</f>
        <v>X</v>
      </c>
      <c r="G26" s="24">
        <f>IF(F26="X",60*0.15,"")</f>
        <v>9</v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14</v>
      </c>
      <c r="D27" s="24" t="str">
        <f>IF($C27=CL,"X","")</f>
        <v/>
      </c>
      <c r="E27" s="24" t="str">
        <f>IF(D27="X",100*0.25,"")</f>
        <v/>
      </c>
      <c r="F27" s="24" t="str">
        <f>IF($C27=L,"X","")</f>
        <v>X</v>
      </c>
      <c r="G27" s="24">
        <f>IF(F27="X",60*0.25,"")</f>
        <v>15</v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14</v>
      </c>
      <c r="D28" s="24" t="str">
        <f>IF($C28=CL,"X","")</f>
        <v/>
      </c>
      <c r="E28" s="24" t="str">
        <f>IF(D28="X",100*0.2,"")</f>
        <v/>
      </c>
      <c r="F28" s="24" t="str">
        <f>IF($C28=L,"X","")</f>
        <v>X</v>
      </c>
      <c r="G28" s="24">
        <f>IF(F28="X",60*0.2,"")</f>
        <v>12</v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13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14</v>
      </c>
      <c r="D30" s="24" t="str">
        <f>IF($C30=CL,"X","")</f>
        <v/>
      </c>
      <c r="E30" s="24" t="str">
        <f t="shared" si="7"/>
        <v/>
      </c>
      <c r="F30" s="24" t="str">
        <f>IF($C30=L,"X","")</f>
        <v>X</v>
      </c>
      <c r="G30" s="24">
        <f t="shared" si="8"/>
        <v>3</v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13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14</v>
      </c>
      <c r="D32" s="24" t="str">
        <f>IF($C32=CL,"X","")</f>
        <v/>
      </c>
      <c r="E32" s="24" t="str">
        <f>IF(D32="X",100*0.1,"")</f>
        <v/>
      </c>
      <c r="F32" s="24" t="str">
        <f>IF($C32=L,"X","")</f>
        <v>X</v>
      </c>
      <c r="G32" s="24">
        <f>IF(F32="X",60*0.1,"")</f>
        <v>6</v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17</v>
      </c>
      <c r="C33" s="26">
        <f>E33+G33+I33+K33</f>
        <v>70</v>
      </c>
      <c r="D33" s="27"/>
      <c r="E33" s="27">
        <f>SUM(E26:E32)</f>
        <v>25</v>
      </c>
      <c r="F33" s="27"/>
      <c r="G33" s="27">
        <f>SUM(G26:G32)</f>
        <v>45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18</v>
      </c>
      <c r="C34" s="29">
        <f>VLOOKUP(C33,ESCALA_IEP!A15:B215,2,FALSE)</f>
        <v>4.8</v>
      </c>
    </row>
    <row r="35" ht="15.75" customHeight="1"/>
    <row r="36" ht="13.5" customHeight="1"/>
    <row r="37" ht="24.0" customHeight="1">
      <c r="A37" s="13" t="s">
        <v>9</v>
      </c>
      <c r="B37" s="14" t="str">
        <f>B6</f>
        <v>JOEL FRANCISCO MATAMALA GONZALEZ</v>
      </c>
      <c r="C37" s="15" t="s">
        <v>10</v>
      </c>
      <c r="D37" s="16" t="s">
        <v>11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12</v>
      </c>
      <c r="C38" s="21"/>
      <c r="D38" s="16" t="s">
        <v>13</v>
      </c>
      <c r="E38" s="18"/>
      <c r="F38" s="16" t="s">
        <v>14</v>
      </c>
      <c r="G38" s="18"/>
      <c r="H38" s="16" t="s">
        <v>15</v>
      </c>
      <c r="I38" s="18"/>
      <c r="J38" s="16" t="s">
        <v>16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14</v>
      </c>
      <c r="D39" s="24" t="str">
        <f>IF($C39=CL,"X","")</f>
        <v/>
      </c>
      <c r="E39" s="24" t="str">
        <f>IF(D39="X",100*0.15,"")</f>
        <v/>
      </c>
      <c r="F39" s="24" t="str">
        <f>IF($C39=L,"X","")</f>
        <v>X</v>
      </c>
      <c r="G39" s="24">
        <f>IF(F39="X",60*0.15,"")</f>
        <v>9</v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14</v>
      </c>
      <c r="D40" s="24" t="str">
        <f>IF($C40=CL,"X","")</f>
        <v/>
      </c>
      <c r="E40" s="24" t="str">
        <f>IF(D40="X",100*0.25,"")</f>
        <v/>
      </c>
      <c r="F40" s="24" t="str">
        <f>IF($C40=L,"X","")</f>
        <v>X</v>
      </c>
      <c r="G40" s="24">
        <f>IF(F40="X",60*0.25,"")</f>
        <v>15</v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14</v>
      </c>
      <c r="D41" s="24" t="str">
        <f>IF($C41=CL,"X","")</f>
        <v/>
      </c>
      <c r="E41" s="24" t="str">
        <f>IF(D41="X",100*0.2,"")</f>
        <v/>
      </c>
      <c r="F41" s="24" t="str">
        <f>IF($C41=L,"X","")</f>
        <v>X</v>
      </c>
      <c r="G41" s="24">
        <f>IF(F41="X",60*0.2,"")</f>
        <v>12</v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13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14</v>
      </c>
      <c r="D43" s="24" t="str">
        <f>IF($C43=CL,"X","")</f>
        <v/>
      </c>
      <c r="E43" s="24" t="str">
        <f t="shared" si="11"/>
        <v/>
      </c>
      <c r="F43" s="24" t="str">
        <f>IF($C43=L,"X","")</f>
        <v>X</v>
      </c>
      <c r="G43" s="24">
        <f t="shared" si="12"/>
        <v>3</v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13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14</v>
      </c>
      <c r="D45" s="24" t="str">
        <f>IF($C45=CL,"X","")</f>
        <v/>
      </c>
      <c r="E45" s="24" t="str">
        <f>IF(D45="X",100*0.1,"")</f>
        <v/>
      </c>
      <c r="F45" s="24" t="str">
        <f>IF($C45=L,"X","")</f>
        <v>X</v>
      </c>
      <c r="G45" s="24">
        <f>IF(F45="X",60*0.1,"")</f>
        <v>6</v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17</v>
      </c>
      <c r="C46" s="26">
        <f>E46+G46+I46+K46</f>
        <v>70</v>
      </c>
      <c r="D46" s="27"/>
      <c r="E46" s="27">
        <f>SUM(E39:E45)</f>
        <v>25</v>
      </c>
      <c r="F46" s="27"/>
      <c r="G46" s="27">
        <f>SUM(G39:G45)</f>
        <v>45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18</v>
      </c>
      <c r="C47" s="29">
        <f>VLOOKUP(C46,ESCALA_IEP!A28:B228,2,FALSE)</f>
        <v>4.8</v>
      </c>
    </row>
    <row r="48" ht="15.75" customHeight="1"/>
    <row r="49" ht="15.75" customHeight="1"/>
    <row r="50" ht="24.0" customHeight="1">
      <c r="A50" s="13" t="s">
        <v>9</v>
      </c>
      <c r="B50" s="14" t="str">
        <f>B7</f>
        <v>HARRY ALBERTH RUIZ IPARRAGUIRRE</v>
      </c>
      <c r="C50" s="15" t="s">
        <v>10</v>
      </c>
      <c r="D50" s="16" t="s">
        <v>11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12</v>
      </c>
      <c r="C51" s="21"/>
      <c r="D51" s="16" t="s">
        <v>13</v>
      </c>
      <c r="E51" s="18"/>
      <c r="F51" s="16" t="s">
        <v>14</v>
      </c>
      <c r="G51" s="18"/>
      <c r="H51" s="16" t="s">
        <v>15</v>
      </c>
      <c r="I51" s="18"/>
      <c r="J51" s="16" t="s">
        <v>16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14</v>
      </c>
      <c r="D52" s="24" t="str">
        <f>IF($C52=CL,"X","")</f>
        <v/>
      </c>
      <c r="E52" s="24" t="str">
        <f>IF(D52="X",100*0.15,"")</f>
        <v/>
      </c>
      <c r="F52" s="24" t="str">
        <f>IF($C52=L,"X","")</f>
        <v>X</v>
      </c>
      <c r="G52" s="24">
        <f>IF(F52="X",60*0.15,"")</f>
        <v>9</v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14</v>
      </c>
      <c r="D53" s="24" t="str">
        <f>IF($C53=CL,"X","")</f>
        <v/>
      </c>
      <c r="E53" s="24" t="str">
        <f>IF(D53="X",100*0.25,"")</f>
        <v/>
      </c>
      <c r="F53" s="24" t="str">
        <f>IF($C53=L,"X","")</f>
        <v>X</v>
      </c>
      <c r="G53" s="24">
        <f>IF(F53="X",60*0.25,"")</f>
        <v>15</v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14</v>
      </c>
      <c r="D54" s="24" t="str">
        <f>IF($C54=CL,"X","")</f>
        <v/>
      </c>
      <c r="E54" s="24" t="str">
        <f>IF(D54="X",100*0.2,"")</f>
        <v/>
      </c>
      <c r="F54" s="24" t="str">
        <f>IF($C54=L,"X","")</f>
        <v>X</v>
      </c>
      <c r="G54" s="24">
        <f>IF(F54="X",60*0.2,"")</f>
        <v>12</v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13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14</v>
      </c>
      <c r="D56" s="24" t="str">
        <f>IF($C56=CL,"X","")</f>
        <v/>
      </c>
      <c r="E56" s="24" t="str">
        <f t="shared" si="15"/>
        <v/>
      </c>
      <c r="F56" s="24" t="str">
        <f>IF($C56=L,"X","")</f>
        <v>X</v>
      </c>
      <c r="G56" s="24">
        <f t="shared" si="16"/>
        <v>3</v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13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14</v>
      </c>
      <c r="D58" s="24" t="str">
        <f>IF($C58=CL,"X","")</f>
        <v/>
      </c>
      <c r="E58" s="24" t="str">
        <f>IF(D58="X",100*0.1,"")</f>
        <v/>
      </c>
      <c r="F58" s="24" t="str">
        <f>IF($C58=L,"X","")</f>
        <v>X</v>
      </c>
      <c r="G58" s="24">
        <f>IF(F58="X",60*0.1,"")</f>
        <v>6</v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4.0" customHeight="1">
      <c r="A59" s="19"/>
      <c r="B59" s="25" t="s">
        <v>17</v>
      </c>
      <c r="C59" s="26">
        <f>E59+G59+I59+K59</f>
        <v>70</v>
      </c>
      <c r="D59" s="27"/>
      <c r="E59" s="27">
        <f>SUM(E52:E58)</f>
        <v>25</v>
      </c>
      <c r="F59" s="27"/>
      <c r="G59" s="27">
        <f>SUM(G52:G58)</f>
        <v>45</v>
      </c>
      <c r="H59" s="27"/>
      <c r="I59" s="27">
        <f>SUM(I52:I58)</f>
        <v>0</v>
      </c>
      <c r="J59" s="27"/>
      <c r="K59" s="27">
        <f>SUM(K52:K58)</f>
        <v>0</v>
      </c>
    </row>
    <row r="60" ht="24.0" customHeight="1">
      <c r="A60" s="21"/>
      <c r="B60" s="28" t="s">
        <v>18</v>
      </c>
      <c r="C60" s="29">
        <f>VLOOKUP(C59,ESCALA_IEP!A41:B241,2,FALSE)</f>
        <v>4.8</v>
      </c>
    </row>
    <row r="61" ht="15.75" customHeight="1"/>
    <row r="62" ht="15.75" customHeight="1"/>
    <row r="63" ht="24.0" customHeight="1">
      <c r="A63" s="13" t="s">
        <v>9</v>
      </c>
      <c r="B63" s="14" t="str">
        <f>B8</f>
        <v>BRUNO ZAMORANO VARGAS</v>
      </c>
      <c r="C63" s="15" t="s">
        <v>10</v>
      </c>
      <c r="D63" s="16" t="s">
        <v>11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12</v>
      </c>
      <c r="C64" s="21"/>
      <c r="D64" s="16" t="s">
        <v>13</v>
      </c>
      <c r="E64" s="18"/>
      <c r="F64" s="16" t="s">
        <v>14</v>
      </c>
      <c r="G64" s="18"/>
      <c r="H64" s="16" t="s">
        <v>15</v>
      </c>
      <c r="I64" s="18"/>
      <c r="J64" s="16" t="s">
        <v>16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14</v>
      </c>
      <c r="D65" s="24" t="str">
        <f>IF($C65=CL,"X","")</f>
        <v/>
      </c>
      <c r="E65" s="24" t="str">
        <f>IF(D65="X",100*0.15,"")</f>
        <v/>
      </c>
      <c r="F65" s="24" t="str">
        <f>IF($C65=L,"X","")</f>
        <v>X</v>
      </c>
      <c r="G65" s="24">
        <f>IF(F65="X",60*0.15,"")</f>
        <v>9</v>
      </c>
      <c r="H65" s="24" t="str">
        <f>IF($C65=ML,"X","")</f>
        <v/>
      </c>
      <c r="I65" s="24" t="str">
        <f>IF(H65="X",30*0.15,"")</f>
        <v/>
      </c>
      <c r="J65" s="24" t="str">
        <f>IF($C65=NL,"X","")</f>
        <v/>
      </c>
      <c r="K65" s="24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14</v>
      </c>
      <c r="D66" s="24" t="str">
        <f>IF($C66=CL,"X","")</f>
        <v/>
      </c>
      <c r="E66" s="24" t="str">
        <f>IF(D66="X",100*0.25,"")</f>
        <v/>
      </c>
      <c r="F66" s="24" t="str">
        <f>IF($C66=L,"X","")</f>
        <v>X</v>
      </c>
      <c r="G66" s="24">
        <f>IF(F66="X",60*0.25,"")</f>
        <v>15</v>
      </c>
      <c r="H66" s="24" t="str">
        <f>IF($C66=ML,"X","")</f>
        <v/>
      </c>
      <c r="I66" s="24" t="str">
        <f>IF(H66="X",30*0.25,"")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14</v>
      </c>
      <c r="D67" s="24" t="str">
        <f>IF($C67=CL,"X","")</f>
        <v/>
      </c>
      <c r="E67" s="24" t="str">
        <f>IF(D67="X",100*0.2,"")</f>
        <v/>
      </c>
      <c r="F67" s="24" t="str">
        <f>IF($C67=L,"X","")</f>
        <v>X</v>
      </c>
      <c r="G67" s="24">
        <f>IF(F67="X",60*0.2,"")</f>
        <v>12</v>
      </c>
      <c r="H67" s="24" t="str">
        <f>IF($C67=ML,"X","")</f>
        <v/>
      </c>
      <c r="I67" s="24" t="str">
        <f>IF(H67="X",30*0.2,"")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13</v>
      </c>
      <c r="D68" s="24" t="str">
        <f>IF($C68=CL,"X","")</f>
        <v>X</v>
      </c>
      <c r="E68" s="24">
        <f t="shared" ref="E68:E69" si="19">IF(D68="X",100*0.05,"")</f>
        <v>5</v>
      </c>
      <c r="F68" s="24" t="str">
        <f>IF($C68=L,"X","")</f>
        <v/>
      </c>
      <c r="G68" s="24" t="str">
        <f t="shared" ref="G68:G69" si="20">IF(F68="X",60*0.05,"")</f>
        <v/>
      </c>
      <c r="H68" s="24" t="str">
        <f>IF($C68=ML,"X","")</f>
        <v/>
      </c>
      <c r="I68" s="24" t="str">
        <f t="shared" ref="I68:I69" si="21">IF(H68="X",30*0.05,"")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14</v>
      </c>
      <c r="D69" s="24" t="str">
        <f>IF($C69=CL,"X","")</f>
        <v/>
      </c>
      <c r="E69" s="24" t="str">
        <f t="shared" si="19"/>
        <v/>
      </c>
      <c r="F69" s="24" t="str">
        <f>IF($C69=L,"X","")</f>
        <v>X</v>
      </c>
      <c r="G69" s="24">
        <f t="shared" si="20"/>
        <v>3</v>
      </c>
      <c r="H69" s="24" t="str">
        <f>IF($C69=ML,"X","")</f>
        <v/>
      </c>
      <c r="I69" s="24" t="str">
        <f t="shared" si="21"/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13</v>
      </c>
      <c r="D70" s="24" t="str">
        <f>IF($C70=CL,"X","")</f>
        <v>X</v>
      </c>
      <c r="E70" s="24">
        <f>IF(D70="X",100*0.2,"")</f>
        <v>20</v>
      </c>
      <c r="F70" s="24" t="str">
        <f>IF($C70=L,"X","")</f>
        <v/>
      </c>
      <c r="G70" s="24" t="str">
        <f>IF(F70="X",60*0.2,"")</f>
        <v/>
      </c>
      <c r="H70" s="24" t="str">
        <f>IF($C70=ML,"X","")</f>
        <v/>
      </c>
      <c r="I70" s="24" t="str">
        <f>IF(H70="X",30*0.2,"")</f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14</v>
      </c>
      <c r="D71" s="24" t="str">
        <f>IF($C71=CL,"X","")</f>
        <v/>
      </c>
      <c r="E71" s="24" t="str">
        <f>IF(D71="X",100*0.1,"")</f>
        <v/>
      </c>
      <c r="F71" s="24" t="str">
        <f>IF($C71=L,"X","")</f>
        <v>X</v>
      </c>
      <c r="G71" s="24">
        <f>IF(F71="X",60*0.1,"")</f>
        <v>6</v>
      </c>
      <c r="H71" s="24" t="str">
        <f>IF($C71=ML,"X","")</f>
        <v/>
      </c>
      <c r="I71" s="24" t="str">
        <f>IF(H71="X",30*0.1,"")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5" t="s">
        <v>17</v>
      </c>
      <c r="C72" s="26">
        <f>E72+G72+I72+K72</f>
        <v>70</v>
      </c>
      <c r="D72" s="27"/>
      <c r="E72" s="27">
        <f>SUM(E65:E71)</f>
        <v>25</v>
      </c>
      <c r="F72" s="27"/>
      <c r="G72" s="27">
        <f>SUM(G65:G71)</f>
        <v>45</v>
      </c>
      <c r="H72" s="27"/>
      <c r="I72" s="27">
        <f>SUM(I65:I71)</f>
        <v>0</v>
      </c>
      <c r="J72" s="27"/>
      <c r="K72" s="27">
        <f>SUM(K65:K71)</f>
        <v>0</v>
      </c>
    </row>
    <row r="73" ht="24.0" customHeight="1">
      <c r="A73" s="21"/>
      <c r="B73" s="28" t="s">
        <v>18</v>
      </c>
      <c r="C73" s="29">
        <f>VLOOKUP(C72,ESCALA_IEP!A54:B254,2,FALSE)</f>
        <v>4.8</v>
      </c>
    </row>
    <row r="74" ht="15.75" customHeight="1"/>
    <row r="75" ht="15.75" customHeight="1"/>
    <row r="76" ht="24.0" customHeight="1">
      <c r="A76" s="13" t="s">
        <v>19</v>
      </c>
      <c r="B76" s="14" t="str">
        <f>B4</f>
        <v>FERNANDO JOSE AREVALO ARCE</v>
      </c>
      <c r="C76" s="15" t="s">
        <v>10</v>
      </c>
      <c r="D76" s="16" t="s">
        <v>11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12</v>
      </c>
      <c r="C77" s="21"/>
      <c r="D77" s="16" t="s">
        <v>13</v>
      </c>
      <c r="E77" s="18"/>
      <c r="F77" s="16" t="s">
        <v>14</v>
      </c>
      <c r="G77" s="18"/>
      <c r="H77" s="16" t="s">
        <v>15</v>
      </c>
      <c r="I77" s="18"/>
      <c r="J77" s="16" t="s">
        <v>16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14</v>
      </c>
      <c r="D78" s="24" t="str">
        <f>IF($C78=CL,"X","")</f>
        <v/>
      </c>
      <c r="E78" s="24" t="str">
        <f>IF(D78="X",100*0.15,"")</f>
        <v/>
      </c>
      <c r="F78" s="24" t="str">
        <f>IF($C78=L,"X","")</f>
        <v>X</v>
      </c>
      <c r="G78" s="24">
        <f>IF(F78="X",60*0.15,"")</f>
        <v>9</v>
      </c>
      <c r="H78" s="24" t="str">
        <f>IF($C78=ML,"X","")</f>
        <v/>
      </c>
      <c r="I78" s="24" t="str">
        <f>IF(H78="X",30*0.15,"")</f>
        <v/>
      </c>
      <c r="J78" s="24" t="str">
        <f>IF($C78=NL,"X","")</f>
        <v/>
      </c>
      <c r="K78" s="24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14</v>
      </c>
      <c r="D79" s="24" t="str">
        <f>IF($C79=CL,"X","")</f>
        <v/>
      </c>
      <c r="E79" s="24" t="str">
        <f>IF(D79="X",100*0.25,"")</f>
        <v/>
      </c>
      <c r="F79" s="24" t="str">
        <f>IF($C79=L,"X","")</f>
        <v>X</v>
      </c>
      <c r="G79" s="24">
        <f>IF(F79="X",60*0.25,"")</f>
        <v>15</v>
      </c>
      <c r="H79" s="24" t="str">
        <f>IF($C79=ML,"X","")</f>
        <v/>
      </c>
      <c r="I79" s="24" t="str">
        <f>IF(H79="X",30*0.25,"")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14</v>
      </c>
      <c r="D80" s="24" t="str">
        <f>IF($C80=CL,"X","")</f>
        <v/>
      </c>
      <c r="E80" s="24" t="str">
        <f>IF(D80="X",100*0.2,"")</f>
        <v/>
      </c>
      <c r="F80" s="24" t="str">
        <f>IF($C80=L,"X","")</f>
        <v>X</v>
      </c>
      <c r="G80" s="24">
        <f>IF(F80="X",60*0.2,"")</f>
        <v>12</v>
      </c>
      <c r="H80" s="24" t="str">
        <f>IF($C80=ML,"X","")</f>
        <v/>
      </c>
      <c r="I80" s="24" t="str">
        <f>IF(H80="X",30*0.2,"")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13</v>
      </c>
      <c r="D81" s="24" t="str">
        <f>IF($C81=CL,"X","")</f>
        <v>X</v>
      </c>
      <c r="E81" s="24">
        <f t="shared" ref="E81:E82" si="23">IF(D81="X",100*0.05,"")</f>
        <v>5</v>
      </c>
      <c r="F81" s="24" t="str">
        <f>IF($C81=L,"X","")</f>
        <v/>
      </c>
      <c r="G81" s="24" t="str">
        <f t="shared" ref="G81:G82" si="24">IF(F81="X",60*0.05,"")</f>
        <v/>
      </c>
      <c r="H81" s="24" t="str">
        <f>IF($C81=ML,"X","")</f>
        <v/>
      </c>
      <c r="I81" s="24" t="str">
        <f t="shared" ref="I81:I82" si="25">IF(H81="X",30*0.05,"")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14</v>
      </c>
      <c r="D82" s="24" t="str">
        <f>IF($C82=CL,"X","")</f>
        <v/>
      </c>
      <c r="E82" s="24" t="str">
        <f t="shared" si="23"/>
        <v/>
      </c>
      <c r="F82" s="24" t="str">
        <f>IF($C82=L,"X","")</f>
        <v>X</v>
      </c>
      <c r="G82" s="24">
        <f t="shared" si="24"/>
        <v>3</v>
      </c>
      <c r="H82" s="24" t="str">
        <f>IF($C82=ML,"X","")</f>
        <v/>
      </c>
      <c r="I82" s="24" t="str">
        <f t="shared" si="25"/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13</v>
      </c>
      <c r="D83" s="24" t="str">
        <f>IF($C83=CL,"X","")</f>
        <v>X</v>
      </c>
      <c r="E83" s="24">
        <f>IF(D83="X",100*0.2,"")</f>
        <v>20</v>
      </c>
      <c r="F83" s="24" t="str">
        <f>IF($C83=L,"X","")</f>
        <v/>
      </c>
      <c r="G83" s="24" t="str">
        <f>IF(F83="X",60*0.2,"")</f>
        <v/>
      </c>
      <c r="H83" s="24" t="str">
        <f>IF($C83=ML,"X","")</f>
        <v/>
      </c>
      <c r="I83" s="24" t="str">
        <f>IF(H83="X",30*0.2,"")</f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13</v>
      </c>
      <c r="D84" s="24" t="str">
        <f>IF($C84=CL,"X","")</f>
        <v>X</v>
      </c>
      <c r="E84" s="24">
        <f>IF(D84="X",100*0.1,"")</f>
        <v>10</v>
      </c>
      <c r="F84" s="24" t="str">
        <f>IF($C84=L,"X","")</f>
        <v/>
      </c>
      <c r="G84" s="24" t="str">
        <f>IF(F84="X",60*0.1,"")</f>
        <v/>
      </c>
      <c r="H84" s="24" t="str">
        <f>IF($C84=ML,"X","")</f>
        <v/>
      </c>
      <c r="I84" s="24" t="str">
        <f>IF(H84="X",30*0.1,"")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5" t="s">
        <v>17</v>
      </c>
      <c r="C85" s="26">
        <f>E85+G85+I85+K85</f>
        <v>74</v>
      </c>
      <c r="D85" s="27"/>
      <c r="E85" s="27">
        <f>SUM(E78:E84)</f>
        <v>35</v>
      </c>
      <c r="F85" s="27"/>
      <c r="G85" s="27">
        <f>SUM(G78:G84)</f>
        <v>39</v>
      </c>
      <c r="H85" s="27"/>
      <c r="I85" s="27">
        <f>SUM(I78:I84)</f>
        <v>0</v>
      </c>
      <c r="J85" s="27"/>
      <c r="K85" s="27">
        <f>SUM(K78:K84)</f>
        <v>0</v>
      </c>
    </row>
    <row r="86" ht="24.0" customHeight="1">
      <c r="A86" s="21"/>
      <c r="B86" s="28" t="s">
        <v>18</v>
      </c>
      <c r="C86" s="29">
        <f>VLOOKUP(C85,ESCALA_IEP!A54:B254,2,FALSE)</f>
        <v>5.1</v>
      </c>
    </row>
    <row r="87" ht="15.75" customHeight="1"/>
    <row r="88" ht="15.75" customHeight="1"/>
    <row r="89" ht="24.0" customHeight="1">
      <c r="A89" s="13" t="s">
        <v>20</v>
      </c>
      <c r="B89" s="14" t="str">
        <f>B5</f>
        <v>JOSUE NASHREM CHOQUE CHOQUE</v>
      </c>
      <c r="C89" s="15" t="s">
        <v>10</v>
      </c>
      <c r="D89" s="16" t="s">
        <v>11</v>
      </c>
      <c r="E89" s="17"/>
      <c r="F89" s="17"/>
      <c r="G89" s="17"/>
      <c r="H89" s="17"/>
      <c r="I89" s="17"/>
      <c r="J89" s="17"/>
      <c r="K89" s="18"/>
    </row>
    <row r="90" ht="24.0" customHeight="1">
      <c r="A90" s="19"/>
      <c r="B90" s="20" t="s">
        <v>12</v>
      </c>
      <c r="C90" s="21"/>
      <c r="D90" s="16" t="s">
        <v>13</v>
      </c>
      <c r="E90" s="18"/>
      <c r="F90" s="16" t="s">
        <v>14</v>
      </c>
      <c r="G90" s="18"/>
      <c r="H90" s="16" t="s">
        <v>15</v>
      </c>
      <c r="I90" s="18"/>
      <c r="J90" s="16" t="s">
        <v>16</v>
      </c>
      <c r="K90" s="18"/>
    </row>
    <row r="91" ht="24.0" customHeight="1">
      <c r="A91" s="19"/>
      <c r="B91" s="22" t="str">
        <f>RUBRICA!A4</f>
        <v>1. Presenta el proyecto considerando la relevancia, objetivos, metodología y desarrollo, de acuerdo a los estándares de calidad de la disciplina. </v>
      </c>
      <c r="C91" s="23" t="s">
        <v>14</v>
      </c>
      <c r="D91" s="24" t="str">
        <f>IF($C91=CL,"X","")</f>
        <v/>
      </c>
      <c r="E91" s="24" t="str">
        <f>IF(D91="X",100*0.15,"")</f>
        <v/>
      </c>
      <c r="F91" s="24" t="str">
        <f>IF($C91=L,"X","")</f>
        <v>X</v>
      </c>
      <c r="G91" s="24">
        <f>IF(F91="X",60*0.15,"")</f>
        <v>9</v>
      </c>
      <c r="H91" s="24" t="str">
        <f>IF($C91=ML,"X","")</f>
        <v/>
      </c>
      <c r="I91" s="24" t="str">
        <f>IF(H91="X",30*0.15,"")</f>
        <v/>
      </c>
      <c r="J91" s="24" t="str">
        <f>IF($C91=NL,"X","")</f>
        <v/>
      </c>
      <c r="K91" s="24" t="str">
        <f t="shared" ref="K91:K97" si="26">IF($J91="X",0,"")</f>
        <v/>
      </c>
    </row>
    <row r="92" ht="24.0" customHeight="1">
      <c r="A92" s="19"/>
      <c r="B92" s="22" t="str">
        <f>RUBRICA!A5</f>
        <v>2. Presenta las evidencias del Proyecto APT, dando cuenta del cumplimiento de los objetivos y de acuerdo a los estándares de la disciplina. </v>
      </c>
      <c r="C92" s="23" t="s">
        <v>14</v>
      </c>
      <c r="D92" s="24" t="str">
        <f>IF($C92=CL,"X","")</f>
        <v/>
      </c>
      <c r="E92" s="24" t="str">
        <f>IF(D92="X",100*0.25,"")</f>
        <v/>
      </c>
      <c r="F92" s="24" t="str">
        <f>IF($C92=L,"X","")</f>
        <v>X</v>
      </c>
      <c r="G92" s="24">
        <f>IF(F92="X",60*0.25,"")</f>
        <v>15</v>
      </c>
      <c r="H92" s="24" t="str">
        <f>IF($C92=ML,"X","")</f>
        <v/>
      </c>
      <c r="I92" s="24" t="str">
        <f>IF(H92="X",30*0.25,"")</f>
        <v/>
      </c>
      <c r="J92" s="24" t="str">
        <f>IF($C92=NL,"X","")</f>
        <v/>
      </c>
      <c r="K92" s="24" t="str">
        <f t="shared" si="26"/>
        <v/>
      </c>
    </row>
    <row r="93" ht="24.0" customHeight="1">
      <c r="A93" s="19"/>
      <c r="B93" s="22" t="str">
        <f>RUBRICA!A6</f>
        <v>3. Responde las preguntas realizadas por la comisión, cumpliendo con los estándares de calidad de la disciplina.</v>
      </c>
      <c r="C93" s="23" t="s">
        <v>14</v>
      </c>
      <c r="D93" s="24" t="str">
        <f>IF($C93=CL,"X","")</f>
        <v/>
      </c>
      <c r="E93" s="24" t="str">
        <f>IF(D93="X",100*0.2,"")</f>
        <v/>
      </c>
      <c r="F93" s="24" t="str">
        <f>IF($C93=L,"X","")</f>
        <v>X</v>
      </c>
      <c r="G93" s="24">
        <f>IF(F93="X",60*0.2,"")</f>
        <v>12</v>
      </c>
      <c r="H93" s="24" t="str">
        <f>IF($C93=ML,"X","")</f>
        <v/>
      </c>
      <c r="I93" s="24" t="str">
        <f>IF(H93="X",30*0.2,"")</f>
        <v/>
      </c>
      <c r="J93" s="24" t="str">
        <f>IF($C93=NL,"X","")</f>
        <v/>
      </c>
      <c r="K93" s="24" t="str">
        <f t="shared" si="26"/>
        <v/>
      </c>
    </row>
    <row r="94" ht="24.0" customHeight="1">
      <c r="A94" s="19"/>
      <c r="B94" s="22" t="str">
        <f>RUBRICA!A7</f>
        <v>4. Expone el Proyecto APT, considerando el formato y el tiempo establecido para la presentación.</v>
      </c>
      <c r="C94" s="23" t="s">
        <v>13</v>
      </c>
      <c r="D94" s="24" t="str">
        <f>IF($C94=CL,"X","")</f>
        <v>X</v>
      </c>
      <c r="E94" s="24">
        <f t="shared" ref="E94:E95" si="27">IF(D94="X",100*0.05,"")</f>
        <v>5</v>
      </c>
      <c r="F94" s="24" t="str">
        <f>IF($C94=L,"X","")</f>
        <v/>
      </c>
      <c r="G94" s="24" t="str">
        <f t="shared" ref="G94:G95" si="28">IF(F94="X",60*0.05,"")</f>
        <v/>
      </c>
      <c r="H94" s="24" t="str">
        <f>IF($C94=ML,"X","")</f>
        <v/>
      </c>
      <c r="I94" s="24" t="str">
        <f t="shared" ref="I94:I95" si="29">IF(H94="X",30*0.05,"")</f>
        <v/>
      </c>
      <c r="J94" s="24" t="str">
        <f>IF($C94=NL,"X","")</f>
        <v/>
      </c>
      <c r="K94" s="24" t="str">
        <f t="shared" si="26"/>
        <v/>
      </c>
    </row>
    <row r="95" ht="24.0" customHeight="1">
      <c r="A95" s="19"/>
      <c r="B95" s="22" t="str">
        <f>RUBRICA!A8</f>
        <v>5. Expresa sus ideas con fluidez, claridad y precisión, utilizando lenguaje técnico propio de la disciplina.</v>
      </c>
      <c r="C95" s="23" t="s">
        <v>14</v>
      </c>
      <c r="D95" s="24" t="str">
        <f>IF($C95=CL,"X","")</f>
        <v/>
      </c>
      <c r="E95" s="24" t="str">
        <f t="shared" si="27"/>
        <v/>
      </c>
      <c r="F95" s="24" t="str">
        <f>IF($C95=L,"X","")</f>
        <v>X</v>
      </c>
      <c r="G95" s="24">
        <f t="shared" si="28"/>
        <v>3</v>
      </c>
      <c r="H95" s="24" t="str">
        <f>IF($C95=ML,"X","")</f>
        <v/>
      </c>
      <c r="I95" s="24" t="str">
        <f t="shared" si="29"/>
        <v/>
      </c>
      <c r="J95" s="24" t="str">
        <f>IF($C95=NL,"X","")</f>
        <v/>
      </c>
      <c r="K95" s="24" t="str">
        <f t="shared" si="26"/>
        <v/>
      </c>
    </row>
    <row r="96" ht="24.0" customHeight="1">
      <c r="A96" s="19"/>
      <c r="B96" s="22" t="str">
        <f>RUBRICA!A9</f>
        <v>6. Entrega la documentación y evidencias requerida por la asignatura de acuerdo a la estructura y nombres solicitados, guardando todas las evidencias de avances en Git</v>
      </c>
      <c r="C96" s="23" t="s">
        <v>13</v>
      </c>
      <c r="D96" s="24" t="str">
        <f>IF($C96=CL,"X","")</f>
        <v>X</v>
      </c>
      <c r="E96" s="24">
        <f>IF(D96="X",100*0.2,"")</f>
        <v>20</v>
      </c>
      <c r="F96" s="24" t="str">
        <f>IF($C96=L,"X","")</f>
        <v/>
      </c>
      <c r="G96" s="24" t="str">
        <f>IF(F96="X",60*0.2,"")</f>
        <v/>
      </c>
      <c r="H96" s="24" t="str">
        <f>IF($C96=ML,"X","")</f>
        <v/>
      </c>
      <c r="I96" s="24" t="str">
        <f>IF(H96="X",30*0.2,"")</f>
        <v/>
      </c>
      <c r="J96" s="24" t="str">
        <f>IF($C96=NL,"X","")</f>
        <v/>
      </c>
      <c r="K96" s="24" t="str">
        <f t="shared" si="26"/>
        <v/>
      </c>
    </row>
    <row r="97" ht="24.0" customHeight="1">
      <c r="A97" s="19"/>
      <c r="B97" s="22" t="str">
        <f>RUBRICA!A10</f>
        <v>7. Expone el tema utilizando un lenguaje técnico disciplinar al presentar la propuesta y responde evidenciando un manejo de la información. </v>
      </c>
      <c r="C97" s="23" t="s">
        <v>13</v>
      </c>
      <c r="D97" s="24" t="str">
        <f>IF($C97=CL,"X","")</f>
        <v>X</v>
      </c>
      <c r="E97" s="24">
        <f>IF(D97="X",100*0.1,"")</f>
        <v>10</v>
      </c>
      <c r="F97" s="24" t="str">
        <f>IF($C97=L,"X","")</f>
        <v/>
      </c>
      <c r="G97" s="24" t="str">
        <f>IF(F97="X",60*0.1,"")</f>
        <v/>
      </c>
      <c r="H97" s="24" t="str">
        <f>IF($C97=ML,"X","")</f>
        <v/>
      </c>
      <c r="I97" s="24" t="str">
        <f>IF(H97="X",30*0.1,"")</f>
        <v/>
      </c>
      <c r="J97" s="24" t="str">
        <f>IF($C97=NL,"X","")</f>
        <v/>
      </c>
      <c r="K97" s="24" t="str">
        <f t="shared" si="26"/>
        <v/>
      </c>
    </row>
    <row r="98" ht="24.0" customHeight="1">
      <c r="A98" s="19"/>
      <c r="B98" s="25" t="s">
        <v>17</v>
      </c>
      <c r="C98" s="26">
        <f>E98+G98+I98+K98</f>
        <v>74</v>
      </c>
      <c r="D98" s="27"/>
      <c r="E98" s="27">
        <f>SUM(E91:E97)</f>
        <v>35</v>
      </c>
      <c r="F98" s="27"/>
      <c r="G98" s="27">
        <f>SUM(G91:G97)</f>
        <v>39</v>
      </c>
      <c r="H98" s="27"/>
      <c r="I98" s="27">
        <f>SUM(I91:I97)</f>
        <v>0</v>
      </c>
      <c r="J98" s="27"/>
      <c r="K98" s="27">
        <f>SUM(K91:K97)</f>
        <v>0</v>
      </c>
    </row>
    <row r="99" ht="24.0" customHeight="1">
      <c r="A99" s="21"/>
      <c r="B99" s="28" t="s">
        <v>18</v>
      </c>
      <c r="C99" s="29">
        <f>VLOOKUP(C98,ESCALA_IEP!A67:B267,2,FALSE)</f>
        <v>5.1</v>
      </c>
    </row>
    <row r="100" ht="15.75" customHeight="1"/>
    <row r="101" ht="15.75" customHeight="1"/>
    <row r="102" ht="24.0" customHeight="1">
      <c r="A102" s="13" t="s">
        <v>21</v>
      </c>
      <c r="B102" s="14" t="str">
        <f>B6</f>
        <v>JOEL FRANCISCO MATAMALA GONZALEZ</v>
      </c>
      <c r="C102" s="15" t="s">
        <v>10</v>
      </c>
      <c r="D102" s="16" t="s">
        <v>11</v>
      </c>
      <c r="E102" s="17"/>
      <c r="F102" s="17"/>
      <c r="G102" s="17"/>
      <c r="H102" s="17"/>
      <c r="I102" s="17"/>
      <c r="J102" s="17"/>
      <c r="K102" s="18"/>
    </row>
    <row r="103" ht="24.0" customHeight="1">
      <c r="A103" s="19"/>
      <c r="B103" s="20" t="s">
        <v>12</v>
      </c>
      <c r="C103" s="21"/>
      <c r="D103" s="16" t="s">
        <v>13</v>
      </c>
      <c r="E103" s="18"/>
      <c r="F103" s="16" t="s">
        <v>14</v>
      </c>
      <c r="G103" s="18"/>
      <c r="H103" s="16" t="s">
        <v>15</v>
      </c>
      <c r="I103" s="18"/>
      <c r="J103" s="16" t="s">
        <v>16</v>
      </c>
      <c r="K103" s="18"/>
    </row>
    <row r="104" ht="24.0" customHeight="1">
      <c r="A104" s="19"/>
      <c r="B104" s="22" t="str">
        <f>RUBRICA!A4</f>
        <v>1. Presenta el proyecto considerando la relevancia, objetivos, metodología y desarrollo, de acuerdo a los estándares de calidad de la disciplina. </v>
      </c>
      <c r="C104" s="23" t="s">
        <v>14</v>
      </c>
      <c r="D104" s="24" t="str">
        <f>IF($C104=CL,"X","")</f>
        <v/>
      </c>
      <c r="E104" s="24" t="str">
        <f>IF(D104="X",100*0.15,"")</f>
        <v/>
      </c>
      <c r="F104" s="24" t="str">
        <f>IF($C104=L,"X","")</f>
        <v>X</v>
      </c>
      <c r="G104" s="24">
        <f>IF(F104="X",60*0.15,"")</f>
        <v>9</v>
      </c>
      <c r="H104" s="24" t="str">
        <f>IF($C104=ML,"X","")</f>
        <v/>
      </c>
      <c r="I104" s="24" t="str">
        <f>IF(H104="X",30*0.15,"")</f>
        <v/>
      </c>
      <c r="J104" s="24" t="str">
        <f>IF($C104=NL,"X","")</f>
        <v/>
      </c>
      <c r="K104" s="24" t="str">
        <f t="shared" ref="K104:K110" si="30">IF($J104="X",0,"")</f>
        <v/>
      </c>
    </row>
    <row r="105" ht="24.0" customHeight="1">
      <c r="A105" s="19"/>
      <c r="B105" s="22" t="str">
        <f>RUBRICA!A5</f>
        <v>2. Presenta las evidencias del Proyecto APT, dando cuenta del cumplimiento de los objetivos y de acuerdo a los estándares de la disciplina. </v>
      </c>
      <c r="C105" s="23" t="s">
        <v>14</v>
      </c>
      <c r="D105" s="24" t="str">
        <f>IF($C105=CL,"X","")</f>
        <v/>
      </c>
      <c r="E105" s="24" t="str">
        <f>IF(D105="X",100*0.25,"")</f>
        <v/>
      </c>
      <c r="F105" s="24" t="str">
        <f>IF($C105=L,"X","")</f>
        <v>X</v>
      </c>
      <c r="G105" s="24">
        <f>IF(F105="X",60*0.25,"")</f>
        <v>15</v>
      </c>
      <c r="H105" s="24" t="str">
        <f>IF($C105=ML,"X","")</f>
        <v/>
      </c>
      <c r="I105" s="24" t="str">
        <f>IF(H105="X",30*0.25,"")</f>
        <v/>
      </c>
      <c r="J105" s="24" t="str">
        <f>IF($C105=NL,"X","")</f>
        <v/>
      </c>
      <c r="K105" s="24" t="str">
        <f t="shared" si="30"/>
        <v/>
      </c>
    </row>
    <row r="106" ht="24.0" customHeight="1">
      <c r="A106" s="19"/>
      <c r="B106" s="22" t="str">
        <f>RUBRICA!A6</f>
        <v>3. Responde las preguntas realizadas por la comisión, cumpliendo con los estándares de calidad de la disciplina.</v>
      </c>
      <c r="C106" s="23" t="s">
        <v>14</v>
      </c>
      <c r="D106" s="24" t="str">
        <f>IF($C106=CL,"X","")</f>
        <v/>
      </c>
      <c r="E106" s="24" t="str">
        <f>IF(D106="X",100*0.2,"")</f>
        <v/>
      </c>
      <c r="F106" s="24" t="str">
        <f>IF($C106=L,"X","")</f>
        <v>X</v>
      </c>
      <c r="G106" s="24">
        <f>IF(F106="X",60*0.2,"")</f>
        <v>12</v>
      </c>
      <c r="H106" s="24" t="str">
        <f>IF($C106=ML,"X","")</f>
        <v/>
      </c>
      <c r="I106" s="24" t="str">
        <f>IF(H106="X",30*0.2,"")</f>
        <v/>
      </c>
      <c r="J106" s="24" t="str">
        <f>IF($C106=NL,"X","")</f>
        <v/>
      </c>
      <c r="K106" s="24" t="str">
        <f t="shared" si="30"/>
        <v/>
      </c>
    </row>
    <row r="107" ht="24.0" customHeight="1">
      <c r="A107" s="19"/>
      <c r="B107" s="22" t="str">
        <f>RUBRICA!A7</f>
        <v>4. Expone el Proyecto APT, considerando el formato y el tiempo establecido para la presentación.</v>
      </c>
      <c r="C107" s="23" t="s">
        <v>13</v>
      </c>
      <c r="D107" s="24" t="str">
        <f>IF($C107=CL,"X","")</f>
        <v>X</v>
      </c>
      <c r="E107" s="24">
        <f t="shared" ref="E107:E108" si="31">IF(D107="X",100*0.05,"")</f>
        <v>5</v>
      </c>
      <c r="F107" s="24" t="str">
        <f>IF($C107=L,"X","")</f>
        <v/>
      </c>
      <c r="G107" s="24" t="str">
        <f t="shared" ref="G107:G108" si="32">IF(F107="X",60*0.05,"")</f>
        <v/>
      </c>
      <c r="H107" s="24" t="str">
        <f>IF($C107=ML,"X","")</f>
        <v/>
      </c>
      <c r="I107" s="24" t="str">
        <f t="shared" ref="I107:I108" si="33">IF(H107="X",30*0.05,"")</f>
        <v/>
      </c>
      <c r="J107" s="24" t="str">
        <f>IF($C107=NL,"X","")</f>
        <v/>
      </c>
      <c r="K107" s="24" t="str">
        <f t="shared" si="30"/>
        <v/>
      </c>
    </row>
    <row r="108" ht="24.0" customHeight="1">
      <c r="A108" s="19"/>
      <c r="B108" s="22" t="str">
        <f>RUBRICA!A8</f>
        <v>5. Expresa sus ideas con fluidez, claridad y precisión, utilizando lenguaje técnico propio de la disciplina.</v>
      </c>
      <c r="C108" s="23" t="s">
        <v>14</v>
      </c>
      <c r="D108" s="24" t="str">
        <f>IF($C108=CL,"X","")</f>
        <v/>
      </c>
      <c r="E108" s="24" t="str">
        <f t="shared" si="31"/>
        <v/>
      </c>
      <c r="F108" s="24" t="str">
        <f>IF($C108=L,"X","")</f>
        <v>X</v>
      </c>
      <c r="G108" s="24">
        <f t="shared" si="32"/>
        <v>3</v>
      </c>
      <c r="H108" s="24" t="str">
        <f>IF($C108=ML,"X","")</f>
        <v/>
      </c>
      <c r="I108" s="24" t="str">
        <f t="shared" si="33"/>
        <v/>
      </c>
      <c r="J108" s="24" t="str">
        <f>IF($C108=NL,"X","")</f>
        <v/>
      </c>
      <c r="K108" s="24" t="str">
        <f t="shared" si="30"/>
        <v/>
      </c>
    </row>
    <row r="109" ht="24.0" customHeight="1">
      <c r="A109" s="19"/>
      <c r="B109" s="22" t="str">
        <f>RUBRICA!A9</f>
        <v>6. Entrega la documentación y evidencias requerida por la asignatura de acuerdo a la estructura y nombres solicitados, guardando todas las evidencias de avances en Git</v>
      </c>
      <c r="C109" s="23" t="s">
        <v>13</v>
      </c>
      <c r="D109" s="24" t="str">
        <f>IF($C109=CL,"X","")</f>
        <v>X</v>
      </c>
      <c r="E109" s="24">
        <f>IF(D109="X",100*0.2,"")</f>
        <v>20</v>
      </c>
      <c r="F109" s="24" t="str">
        <f>IF($C109=L,"X","")</f>
        <v/>
      </c>
      <c r="G109" s="24" t="str">
        <f>IF(F109="X",60*0.2,"")</f>
        <v/>
      </c>
      <c r="H109" s="24" t="str">
        <f>IF($C109=ML,"X","")</f>
        <v/>
      </c>
      <c r="I109" s="24" t="str">
        <f>IF(H109="X",30*0.2,"")</f>
        <v/>
      </c>
      <c r="J109" s="24" t="str">
        <f>IF($C109=NL,"X","")</f>
        <v/>
      </c>
      <c r="K109" s="24" t="str">
        <f t="shared" si="30"/>
        <v/>
      </c>
    </row>
    <row r="110" ht="24.0" customHeight="1">
      <c r="A110" s="19"/>
      <c r="B110" s="22" t="str">
        <f>RUBRICA!A10</f>
        <v>7. Expone el tema utilizando un lenguaje técnico disciplinar al presentar la propuesta y responde evidenciando un manejo de la información. </v>
      </c>
      <c r="C110" s="23" t="s">
        <v>13</v>
      </c>
      <c r="D110" s="24" t="str">
        <f>IF($C110=CL,"X","")</f>
        <v>X</v>
      </c>
      <c r="E110" s="24">
        <f>IF(D110="X",100*0.1,"")</f>
        <v>10</v>
      </c>
      <c r="F110" s="24" t="str">
        <f>IF($C110=L,"X","")</f>
        <v/>
      </c>
      <c r="G110" s="24" t="str">
        <f>IF(F110="X",60*0.1,"")</f>
        <v/>
      </c>
      <c r="H110" s="24" t="str">
        <f>IF($C110=ML,"X","")</f>
        <v/>
      </c>
      <c r="I110" s="24" t="str">
        <f>IF(H110="X",30*0.1,"")</f>
        <v/>
      </c>
      <c r="J110" s="24" t="str">
        <f>IF($C110=NL,"X","")</f>
        <v/>
      </c>
      <c r="K110" s="24" t="str">
        <f t="shared" si="30"/>
        <v/>
      </c>
    </row>
    <row r="111" ht="24.0" customHeight="1">
      <c r="A111" s="19"/>
      <c r="B111" s="25" t="s">
        <v>17</v>
      </c>
      <c r="C111" s="26">
        <f>E111+G111+I111+K111</f>
        <v>74</v>
      </c>
      <c r="D111" s="27"/>
      <c r="E111" s="27">
        <f>SUM(E104:E110)</f>
        <v>35</v>
      </c>
      <c r="F111" s="27"/>
      <c r="G111" s="27">
        <f>SUM(G104:G110)</f>
        <v>39</v>
      </c>
      <c r="H111" s="27"/>
      <c r="I111" s="27">
        <f>SUM(I104:I110)</f>
        <v>0</v>
      </c>
      <c r="J111" s="27"/>
      <c r="K111" s="27">
        <f>SUM(K104:K110)</f>
        <v>0</v>
      </c>
    </row>
    <row r="112" ht="24.0" customHeight="1">
      <c r="A112" s="21"/>
      <c r="B112" s="28" t="s">
        <v>18</v>
      </c>
      <c r="C112" s="29">
        <f>VLOOKUP(C111,ESCALA_IEP!A80:B280,2,FALSE)</f>
        <v>5.1</v>
      </c>
    </row>
    <row r="113" ht="15.75" customHeight="1"/>
    <row r="114" ht="15.75" customHeight="1"/>
    <row r="115" ht="24.0" customHeight="1">
      <c r="A115" s="13" t="s">
        <v>21</v>
      </c>
      <c r="B115" s="14" t="str">
        <f>B7</f>
        <v>HARRY ALBERTH RUIZ IPARRAGUIRRE</v>
      </c>
      <c r="C115" s="15" t="s">
        <v>10</v>
      </c>
      <c r="D115" s="16" t="s">
        <v>11</v>
      </c>
      <c r="E115" s="17"/>
      <c r="F115" s="17"/>
      <c r="G115" s="17"/>
      <c r="H115" s="17"/>
      <c r="I115" s="17"/>
      <c r="J115" s="17"/>
      <c r="K115" s="18"/>
    </row>
    <row r="116" ht="24.0" customHeight="1">
      <c r="A116" s="19"/>
      <c r="B116" s="20" t="s">
        <v>12</v>
      </c>
      <c r="C116" s="21"/>
      <c r="D116" s="16" t="s">
        <v>13</v>
      </c>
      <c r="E116" s="18"/>
      <c r="F116" s="16" t="s">
        <v>14</v>
      </c>
      <c r="G116" s="18"/>
      <c r="H116" s="16" t="s">
        <v>15</v>
      </c>
      <c r="I116" s="18"/>
      <c r="J116" s="16" t="s">
        <v>16</v>
      </c>
      <c r="K116" s="18"/>
    </row>
    <row r="117" ht="24.0" customHeight="1">
      <c r="A117" s="19"/>
      <c r="B117" s="22" t="str">
        <f>RUBRICA!A4</f>
        <v>1. Presenta el proyecto considerando la relevancia, objetivos, metodología y desarrollo, de acuerdo a los estándares de calidad de la disciplina. </v>
      </c>
      <c r="C117" s="23" t="s">
        <v>14</v>
      </c>
      <c r="D117" s="24" t="str">
        <f>IF($C117=CL,"X","")</f>
        <v/>
      </c>
      <c r="E117" s="24" t="str">
        <f>IF(D117="X",100*0.15,"")</f>
        <v/>
      </c>
      <c r="F117" s="24" t="str">
        <f>IF($C117=L,"X","")</f>
        <v>X</v>
      </c>
      <c r="G117" s="24">
        <f>IF(F117="X",60*0.15,"")</f>
        <v>9</v>
      </c>
      <c r="H117" s="24" t="str">
        <f>IF($C117=ML,"X","")</f>
        <v/>
      </c>
      <c r="I117" s="24" t="str">
        <f>IF(H117="X",30*0.15,"")</f>
        <v/>
      </c>
      <c r="J117" s="24" t="str">
        <f>IF($C117=NL,"X","")</f>
        <v/>
      </c>
      <c r="K117" s="24" t="str">
        <f t="shared" ref="K117:K123" si="34">IF($J117="X",0,"")</f>
        <v/>
      </c>
    </row>
    <row r="118" ht="24.0" customHeight="1">
      <c r="A118" s="19"/>
      <c r="B118" s="22" t="str">
        <f>RUBRICA!A5</f>
        <v>2. Presenta las evidencias del Proyecto APT, dando cuenta del cumplimiento de los objetivos y de acuerdo a los estándares de la disciplina. </v>
      </c>
      <c r="C118" s="23" t="s">
        <v>14</v>
      </c>
      <c r="D118" s="24" t="str">
        <f>IF($C118=CL,"X","")</f>
        <v/>
      </c>
      <c r="E118" s="24" t="str">
        <f>IF(D118="X",100*0.25,"")</f>
        <v/>
      </c>
      <c r="F118" s="24" t="str">
        <f>IF($C118=L,"X","")</f>
        <v>X</v>
      </c>
      <c r="G118" s="24">
        <f>IF(F118="X",60*0.25,"")</f>
        <v>15</v>
      </c>
      <c r="H118" s="24" t="str">
        <f>IF($C118=ML,"X","")</f>
        <v/>
      </c>
      <c r="I118" s="24" t="str">
        <f>IF(H118="X",30*0.25,"")</f>
        <v/>
      </c>
      <c r="J118" s="24" t="str">
        <f>IF($C118=NL,"X","")</f>
        <v/>
      </c>
      <c r="K118" s="24" t="str">
        <f t="shared" si="34"/>
        <v/>
      </c>
    </row>
    <row r="119" ht="24.0" customHeight="1">
      <c r="A119" s="19"/>
      <c r="B119" s="22" t="str">
        <f>RUBRICA!A6</f>
        <v>3. Responde las preguntas realizadas por la comisión, cumpliendo con los estándares de calidad de la disciplina.</v>
      </c>
      <c r="C119" s="23" t="s">
        <v>14</v>
      </c>
      <c r="D119" s="24" t="str">
        <f>IF($C119=CL,"X","")</f>
        <v/>
      </c>
      <c r="E119" s="24" t="str">
        <f>IF(D119="X",100*0.2,"")</f>
        <v/>
      </c>
      <c r="F119" s="24" t="str">
        <f>IF($C119=L,"X","")</f>
        <v>X</v>
      </c>
      <c r="G119" s="24">
        <f>IF(F119="X",60*0.2,"")</f>
        <v>12</v>
      </c>
      <c r="H119" s="24" t="str">
        <f>IF($C119=ML,"X","")</f>
        <v/>
      </c>
      <c r="I119" s="24" t="str">
        <f>IF(H119="X",30*0.2,"")</f>
        <v/>
      </c>
      <c r="J119" s="24" t="str">
        <f>IF($C119=NL,"X","")</f>
        <v/>
      </c>
      <c r="K119" s="24" t="str">
        <f t="shared" si="34"/>
        <v/>
      </c>
    </row>
    <row r="120" ht="24.0" customHeight="1">
      <c r="A120" s="19"/>
      <c r="B120" s="22" t="str">
        <f>RUBRICA!A7</f>
        <v>4. Expone el Proyecto APT, considerando el formato y el tiempo establecido para la presentación.</v>
      </c>
      <c r="C120" s="23" t="s">
        <v>13</v>
      </c>
      <c r="D120" s="24" t="str">
        <f>IF($C120=CL,"X","")</f>
        <v>X</v>
      </c>
      <c r="E120" s="24">
        <f t="shared" ref="E120:E121" si="35">IF(D120="X",100*0.05,"")</f>
        <v>5</v>
      </c>
      <c r="F120" s="24" t="str">
        <f>IF($C120=L,"X","")</f>
        <v/>
      </c>
      <c r="G120" s="24" t="str">
        <f t="shared" ref="G120:G121" si="36">IF(F120="X",60*0.05,"")</f>
        <v/>
      </c>
      <c r="H120" s="24" t="str">
        <f>IF($C120=ML,"X","")</f>
        <v/>
      </c>
      <c r="I120" s="24" t="str">
        <f t="shared" ref="I120:I121" si="37">IF(H120="X",30*0.05,"")</f>
        <v/>
      </c>
      <c r="J120" s="24" t="str">
        <f>IF($C120=NL,"X","")</f>
        <v/>
      </c>
      <c r="K120" s="24" t="str">
        <f t="shared" si="34"/>
        <v/>
      </c>
    </row>
    <row r="121" ht="24.0" customHeight="1">
      <c r="A121" s="19"/>
      <c r="B121" s="22" t="str">
        <f>RUBRICA!A8</f>
        <v>5. Expresa sus ideas con fluidez, claridad y precisión, utilizando lenguaje técnico propio de la disciplina.</v>
      </c>
      <c r="C121" s="23" t="s">
        <v>14</v>
      </c>
      <c r="D121" s="24" t="str">
        <f>IF($C121=CL,"X","")</f>
        <v/>
      </c>
      <c r="E121" s="24" t="str">
        <f t="shared" si="35"/>
        <v/>
      </c>
      <c r="F121" s="24" t="str">
        <f>IF($C121=L,"X","")</f>
        <v>X</v>
      </c>
      <c r="G121" s="24">
        <f t="shared" si="36"/>
        <v>3</v>
      </c>
      <c r="H121" s="24" t="str">
        <f>IF($C121=ML,"X","")</f>
        <v/>
      </c>
      <c r="I121" s="24" t="str">
        <f t="shared" si="37"/>
        <v/>
      </c>
      <c r="J121" s="24" t="str">
        <f>IF($C121=NL,"X","")</f>
        <v/>
      </c>
      <c r="K121" s="24" t="str">
        <f t="shared" si="34"/>
        <v/>
      </c>
    </row>
    <row r="122" ht="24.0" customHeight="1">
      <c r="A122" s="19"/>
      <c r="B122" s="22" t="str">
        <f>RUBRICA!A9</f>
        <v>6. Entrega la documentación y evidencias requerida por la asignatura de acuerdo a la estructura y nombres solicitados, guardando todas las evidencias de avances en Git</v>
      </c>
      <c r="C122" s="23" t="s">
        <v>13</v>
      </c>
      <c r="D122" s="24" t="str">
        <f>IF($C122=CL,"X","")</f>
        <v>X</v>
      </c>
      <c r="E122" s="24">
        <f>IF(D122="X",100*0.2,"")</f>
        <v>20</v>
      </c>
      <c r="F122" s="24" t="str">
        <f>IF($C122=L,"X","")</f>
        <v/>
      </c>
      <c r="G122" s="24" t="str">
        <f>IF(F122="X",60*0.2,"")</f>
        <v/>
      </c>
      <c r="H122" s="24" t="str">
        <f>IF($C122=ML,"X","")</f>
        <v/>
      </c>
      <c r="I122" s="24" t="str">
        <f>IF(H122="X",30*0.2,"")</f>
        <v/>
      </c>
      <c r="J122" s="24" t="str">
        <f>IF($C122=NL,"X","")</f>
        <v/>
      </c>
      <c r="K122" s="24" t="str">
        <f t="shared" si="34"/>
        <v/>
      </c>
    </row>
    <row r="123" ht="24.0" customHeight="1">
      <c r="A123" s="19"/>
      <c r="B123" s="22" t="str">
        <f>RUBRICA!A10</f>
        <v>7. Expone el tema utilizando un lenguaje técnico disciplinar al presentar la propuesta y responde evidenciando un manejo de la información. </v>
      </c>
      <c r="C123" s="23" t="s">
        <v>13</v>
      </c>
      <c r="D123" s="24" t="str">
        <f>IF($C123=CL,"X","")</f>
        <v>X</v>
      </c>
      <c r="E123" s="24">
        <f>IF(D123="X",100*0.1,"")</f>
        <v>10</v>
      </c>
      <c r="F123" s="24" t="str">
        <f>IF($C123=L,"X","")</f>
        <v/>
      </c>
      <c r="G123" s="24" t="str">
        <f>IF(F123="X",60*0.1,"")</f>
        <v/>
      </c>
      <c r="H123" s="24" t="str">
        <f>IF($C123=ML,"X","")</f>
        <v/>
      </c>
      <c r="I123" s="24" t="str">
        <f>IF(H123="X",30*0.1,"")</f>
        <v/>
      </c>
      <c r="J123" s="24" t="str">
        <f>IF($C123=NL,"X","")</f>
        <v/>
      </c>
      <c r="K123" s="24" t="str">
        <f t="shared" si="34"/>
        <v/>
      </c>
    </row>
    <row r="124" ht="24.0" customHeight="1">
      <c r="A124" s="19"/>
      <c r="B124" s="25" t="s">
        <v>17</v>
      </c>
      <c r="C124" s="26">
        <f>E124+G124+I124+K124</f>
        <v>74</v>
      </c>
      <c r="D124" s="27"/>
      <c r="E124" s="27">
        <f>SUM(E117:E123)</f>
        <v>35</v>
      </c>
      <c r="F124" s="27"/>
      <c r="G124" s="27">
        <f>SUM(G117:G123)</f>
        <v>39</v>
      </c>
      <c r="H124" s="27"/>
      <c r="I124" s="27">
        <f>SUM(I117:I123)</f>
        <v>0</v>
      </c>
      <c r="J124" s="27"/>
      <c r="K124" s="27">
        <f>SUM(K117:K123)</f>
        <v>0</v>
      </c>
    </row>
    <row r="125" ht="24.0" customHeight="1">
      <c r="A125" s="21"/>
      <c r="B125" s="28" t="s">
        <v>18</v>
      </c>
      <c r="C125" s="29">
        <f>VLOOKUP(C124,ESCALA_IEP!A93:B293,2,FALSE)</f>
        <v>5.1</v>
      </c>
    </row>
    <row r="126" ht="15.75" customHeight="1"/>
    <row r="127" ht="15.75" customHeight="1"/>
    <row r="128" ht="24.0" customHeight="1">
      <c r="A128" s="13" t="s">
        <v>21</v>
      </c>
      <c r="B128" s="14" t="str">
        <f>B8</f>
        <v>BRUNO ZAMORANO VARGAS</v>
      </c>
      <c r="C128" s="15" t="s">
        <v>10</v>
      </c>
      <c r="D128" s="16" t="s">
        <v>11</v>
      </c>
      <c r="E128" s="17"/>
      <c r="F128" s="17"/>
      <c r="G128" s="17"/>
      <c r="H128" s="17"/>
      <c r="I128" s="17"/>
      <c r="J128" s="17"/>
      <c r="K128" s="18"/>
    </row>
    <row r="129" ht="24.0" customHeight="1">
      <c r="A129" s="19"/>
      <c r="B129" s="20" t="s">
        <v>12</v>
      </c>
      <c r="C129" s="21"/>
      <c r="D129" s="16" t="s">
        <v>13</v>
      </c>
      <c r="E129" s="18"/>
      <c r="F129" s="16" t="s">
        <v>14</v>
      </c>
      <c r="G129" s="18"/>
      <c r="H129" s="16" t="s">
        <v>15</v>
      </c>
      <c r="I129" s="18"/>
      <c r="J129" s="16" t="s">
        <v>16</v>
      </c>
      <c r="K129" s="18"/>
    </row>
    <row r="130" ht="24.0" customHeight="1">
      <c r="A130" s="19"/>
      <c r="B130" s="22" t="str">
        <f>RUBRICA!A4</f>
        <v>1. Presenta el proyecto considerando la relevancia, objetivos, metodología y desarrollo, de acuerdo a los estándares de calidad de la disciplina. </v>
      </c>
      <c r="C130" s="23" t="s">
        <v>14</v>
      </c>
      <c r="D130" s="24" t="str">
        <f>IF($C130=CL,"X","")</f>
        <v/>
      </c>
      <c r="E130" s="24" t="str">
        <f>IF(D130="X",100*0.15,"")</f>
        <v/>
      </c>
      <c r="F130" s="24" t="str">
        <f>IF($C130=L,"X","")</f>
        <v>X</v>
      </c>
      <c r="G130" s="24">
        <f>IF(F130="X",60*0.15,"")</f>
        <v>9</v>
      </c>
      <c r="H130" s="24" t="str">
        <f>IF($C130=ML,"X","")</f>
        <v/>
      </c>
      <c r="I130" s="24" t="str">
        <f>IF(H130="X",30*0.15,"")</f>
        <v/>
      </c>
      <c r="J130" s="24" t="str">
        <f>IF($C130=NL,"X","")</f>
        <v/>
      </c>
      <c r="K130" s="24" t="str">
        <f t="shared" ref="K130:K136" si="38">IF($J130="X",0,"")</f>
        <v/>
      </c>
    </row>
    <row r="131" ht="24.0" customHeight="1">
      <c r="A131" s="19"/>
      <c r="B131" s="22" t="str">
        <f>RUBRICA!A5</f>
        <v>2. Presenta las evidencias del Proyecto APT, dando cuenta del cumplimiento de los objetivos y de acuerdo a los estándares de la disciplina. </v>
      </c>
      <c r="C131" s="23" t="s">
        <v>14</v>
      </c>
      <c r="D131" s="24" t="str">
        <f>IF($C131=CL,"X","")</f>
        <v/>
      </c>
      <c r="E131" s="24" t="str">
        <f>IF(D131="X",100*0.25,"")</f>
        <v/>
      </c>
      <c r="F131" s="24" t="str">
        <f>IF($C131=L,"X","")</f>
        <v>X</v>
      </c>
      <c r="G131" s="24">
        <f>IF(F131="X",60*0.25,"")</f>
        <v>15</v>
      </c>
      <c r="H131" s="24" t="str">
        <f>IF($C131=ML,"X","")</f>
        <v/>
      </c>
      <c r="I131" s="24" t="str">
        <f>IF(H131="X",30*0.25,"")</f>
        <v/>
      </c>
      <c r="J131" s="24" t="str">
        <f>IF($C131=NL,"X","")</f>
        <v/>
      </c>
      <c r="K131" s="24" t="str">
        <f t="shared" si="38"/>
        <v/>
      </c>
    </row>
    <row r="132" ht="24.0" customHeight="1">
      <c r="A132" s="19"/>
      <c r="B132" s="22" t="str">
        <f>RUBRICA!A6</f>
        <v>3. Responde las preguntas realizadas por la comisión, cumpliendo con los estándares de calidad de la disciplina.</v>
      </c>
      <c r="C132" s="23" t="s">
        <v>14</v>
      </c>
      <c r="D132" s="24" t="str">
        <f>IF($C132=CL,"X","")</f>
        <v/>
      </c>
      <c r="E132" s="24" t="str">
        <f>IF(D132="X",100*0.2,"")</f>
        <v/>
      </c>
      <c r="F132" s="24" t="str">
        <f>IF($C132=L,"X","")</f>
        <v>X</v>
      </c>
      <c r="G132" s="24">
        <f>IF(F132="X",60*0.2,"")</f>
        <v>12</v>
      </c>
      <c r="H132" s="24" t="str">
        <f>IF($C132=ML,"X","")</f>
        <v/>
      </c>
      <c r="I132" s="24" t="str">
        <f>IF(H132="X",30*0.2,"")</f>
        <v/>
      </c>
      <c r="J132" s="24" t="str">
        <f>IF($C132=NL,"X","")</f>
        <v/>
      </c>
      <c r="K132" s="24" t="str">
        <f t="shared" si="38"/>
        <v/>
      </c>
    </row>
    <row r="133" ht="24.0" customHeight="1">
      <c r="A133" s="19"/>
      <c r="B133" s="22" t="str">
        <f>RUBRICA!A7</f>
        <v>4. Expone el Proyecto APT, considerando el formato y el tiempo establecido para la presentación.</v>
      </c>
      <c r="C133" s="23" t="s">
        <v>13</v>
      </c>
      <c r="D133" s="24" t="str">
        <f>IF($C133=CL,"X","")</f>
        <v>X</v>
      </c>
      <c r="E133" s="24">
        <f t="shared" ref="E133:E134" si="39">IF(D133="X",100*0.05,"")</f>
        <v>5</v>
      </c>
      <c r="F133" s="24" t="str">
        <f>IF($C133=L,"X","")</f>
        <v/>
      </c>
      <c r="G133" s="24" t="str">
        <f t="shared" ref="G133:G134" si="40">IF(F133="X",60*0.05,"")</f>
        <v/>
      </c>
      <c r="H133" s="24" t="str">
        <f>IF($C133=ML,"X","")</f>
        <v/>
      </c>
      <c r="I133" s="24" t="str">
        <f t="shared" ref="I133:I134" si="41">IF(H133="X",30*0.05,"")</f>
        <v/>
      </c>
      <c r="J133" s="24" t="str">
        <f>IF($C133=NL,"X","")</f>
        <v/>
      </c>
      <c r="K133" s="24" t="str">
        <f t="shared" si="38"/>
        <v/>
      </c>
    </row>
    <row r="134" ht="24.0" customHeight="1">
      <c r="A134" s="19"/>
      <c r="B134" s="22" t="str">
        <f>RUBRICA!A8</f>
        <v>5. Expresa sus ideas con fluidez, claridad y precisión, utilizando lenguaje técnico propio de la disciplina.</v>
      </c>
      <c r="C134" s="23" t="s">
        <v>14</v>
      </c>
      <c r="D134" s="24" t="str">
        <f>IF($C134=CL,"X","")</f>
        <v/>
      </c>
      <c r="E134" s="24" t="str">
        <f t="shared" si="39"/>
        <v/>
      </c>
      <c r="F134" s="24" t="str">
        <f>IF($C134=L,"X","")</f>
        <v>X</v>
      </c>
      <c r="G134" s="24">
        <f t="shared" si="40"/>
        <v>3</v>
      </c>
      <c r="H134" s="24" t="str">
        <f>IF($C134=ML,"X","")</f>
        <v/>
      </c>
      <c r="I134" s="24" t="str">
        <f t="shared" si="41"/>
        <v/>
      </c>
      <c r="J134" s="24" t="str">
        <f>IF($C134=NL,"X","")</f>
        <v/>
      </c>
      <c r="K134" s="24" t="str">
        <f t="shared" si="38"/>
        <v/>
      </c>
    </row>
    <row r="135" ht="24.0" customHeight="1">
      <c r="A135" s="19"/>
      <c r="B135" s="22" t="str">
        <f>RUBRICA!A9</f>
        <v>6. Entrega la documentación y evidencias requerida por la asignatura de acuerdo a la estructura y nombres solicitados, guardando todas las evidencias de avances en Git</v>
      </c>
      <c r="C135" s="23" t="s">
        <v>13</v>
      </c>
      <c r="D135" s="24" t="str">
        <f>IF($C135=CL,"X","")</f>
        <v>X</v>
      </c>
      <c r="E135" s="24">
        <f>IF(D135="X",100*0.2,"")</f>
        <v>20</v>
      </c>
      <c r="F135" s="24" t="str">
        <f>IF($C135=L,"X","")</f>
        <v/>
      </c>
      <c r="G135" s="24" t="str">
        <f>IF(F135="X",60*0.2,"")</f>
        <v/>
      </c>
      <c r="H135" s="24" t="str">
        <f>IF($C135=ML,"X","")</f>
        <v/>
      </c>
      <c r="I135" s="24" t="str">
        <f>IF(H135="X",30*0.2,"")</f>
        <v/>
      </c>
      <c r="J135" s="24" t="str">
        <f>IF($C135=NL,"X","")</f>
        <v/>
      </c>
      <c r="K135" s="24" t="str">
        <f t="shared" si="38"/>
        <v/>
      </c>
    </row>
    <row r="136" ht="24.0" customHeight="1">
      <c r="A136" s="19"/>
      <c r="B136" s="22" t="str">
        <f>RUBRICA!A10</f>
        <v>7. Expone el tema utilizando un lenguaje técnico disciplinar al presentar la propuesta y responde evidenciando un manejo de la información. </v>
      </c>
      <c r="C136" s="23" t="s">
        <v>13</v>
      </c>
      <c r="D136" s="24" t="str">
        <f>IF($C136=CL,"X","")</f>
        <v>X</v>
      </c>
      <c r="E136" s="24">
        <f>IF(D136="X",100*0.1,"")</f>
        <v>10</v>
      </c>
      <c r="F136" s="24" t="str">
        <f>IF($C136=L,"X","")</f>
        <v/>
      </c>
      <c r="G136" s="24" t="str">
        <f>IF(F136="X",60*0.1,"")</f>
        <v/>
      </c>
      <c r="H136" s="24" t="str">
        <f>IF($C136=ML,"X","")</f>
        <v/>
      </c>
      <c r="I136" s="24" t="str">
        <f>IF(H136="X",30*0.1,"")</f>
        <v/>
      </c>
      <c r="J136" s="24" t="str">
        <f>IF($C136=NL,"X","")</f>
        <v/>
      </c>
      <c r="K136" s="24" t="str">
        <f t="shared" si="38"/>
        <v/>
      </c>
    </row>
    <row r="137" ht="24.0" customHeight="1">
      <c r="A137" s="19"/>
      <c r="B137" s="25" t="s">
        <v>17</v>
      </c>
      <c r="C137" s="26">
        <f>E137+G137+I137+K137</f>
        <v>74</v>
      </c>
      <c r="D137" s="27"/>
      <c r="E137" s="27">
        <f>SUM(E130:E136)</f>
        <v>35</v>
      </c>
      <c r="F137" s="27"/>
      <c r="G137" s="27">
        <f>SUM(G130:G136)</f>
        <v>39</v>
      </c>
      <c r="H137" s="27"/>
      <c r="I137" s="27">
        <f>SUM(I130:I136)</f>
        <v>0</v>
      </c>
      <c r="J137" s="27"/>
      <c r="K137" s="27">
        <f>SUM(K130:K136)</f>
        <v>0</v>
      </c>
    </row>
    <row r="138" ht="24.0" customHeight="1">
      <c r="A138" s="21"/>
      <c r="B138" s="28" t="s">
        <v>18</v>
      </c>
      <c r="C138" s="29">
        <f>VLOOKUP(C137,ESCALA_IEP!A106:B306,2,FALSE)</f>
        <v>5.1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C76:C77"/>
    <mergeCell ref="C89:C90"/>
    <mergeCell ref="A102:A112"/>
    <mergeCell ref="C102:C103"/>
    <mergeCell ref="A115:A125"/>
    <mergeCell ref="C115:C116"/>
    <mergeCell ref="A128:A138"/>
    <mergeCell ref="C128:C129"/>
    <mergeCell ref="C11:C12"/>
    <mergeCell ref="C24:C25"/>
    <mergeCell ref="A37:A47"/>
    <mergeCell ref="C37:C38"/>
    <mergeCell ref="A50:A60"/>
    <mergeCell ref="C50:C51"/>
    <mergeCell ref="C63:C64"/>
    <mergeCell ref="H90:I90"/>
    <mergeCell ref="J90:K90"/>
    <mergeCell ref="D77:E77"/>
    <mergeCell ref="F77:G77"/>
    <mergeCell ref="H77:I77"/>
    <mergeCell ref="J77:K77"/>
    <mergeCell ref="D89:K89"/>
    <mergeCell ref="D90:E90"/>
    <mergeCell ref="F90:G90"/>
    <mergeCell ref="J116:K116"/>
    <mergeCell ref="D128:K128"/>
    <mergeCell ref="D129:E129"/>
    <mergeCell ref="F129:G129"/>
    <mergeCell ref="H129:I129"/>
    <mergeCell ref="J129:K129"/>
    <mergeCell ref="D102:K102"/>
    <mergeCell ref="D103:E103"/>
    <mergeCell ref="F103:G103"/>
    <mergeCell ref="H103:I103"/>
    <mergeCell ref="J103:K103"/>
    <mergeCell ref="D115:K115"/>
    <mergeCell ref="D116:E116"/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A89:A99"/>
    <mergeCell ref="J51:K51"/>
    <mergeCell ref="D63:K63"/>
    <mergeCell ref="D64:E64"/>
    <mergeCell ref="F64:G64"/>
    <mergeCell ref="H64:I64"/>
    <mergeCell ref="J64:K64"/>
    <mergeCell ref="D76:K76"/>
    <mergeCell ref="F116:G116"/>
    <mergeCell ref="H116:I116"/>
  </mergeCells>
  <conditionalFormatting sqref="C4:C8">
    <cfRule type="cellIs" dxfId="0" priority="1" operator="lessThan">
      <formula>4</formula>
    </cfRule>
  </conditionalFormatting>
  <conditionalFormatting sqref="C4:C8">
    <cfRule type="cellIs" dxfId="0" priority="2" operator="lessThan">
      <formula>1</formula>
    </cfRule>
  </conditionalFormatting>
  <dataValidations>
    <dataValidation type="list" allowBlank="1" showErrorMessage="1" sqref="C13:C19 C26:C32 C39:C45 C52:C58 C65:C71 C78:C84 C91:C97 C104:C110 C117:C123 C130:C136">
      <formula1>'RELEVANCIA-PUNTAJE'!$B$2:$E$2</formula1>
    </dataValidation>
    <dataValidation type="decimal" allowBlank="1" showInputMessage="1" showErrorMessage="1" prompt="Error de Ingreso - Nota debe estar entre 1,0 y 7,0" sqref="C4:C8">
      <formula1>1.0</formula1>
      <formula2>7.0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30" t="s">
        <v>22</v>
      </c>
      <c r="B1" s="31" t="s">
        <v>23</v>
      </c>
      <c r="C1" s="32"/>
      <c r="D1" s="32"/>
      <c r="E1" s="33"/>
      <c r="F1" s="30" t="s">
        <v>24</v>
      </c>
    </row>
    <row r="2">
      <c r="A2" s="34"/>
      <c r="B2" s="35" t="s">
        <v>25</v>
      </c>
      <c r="C2" s="35" t="s">
        <v>26</v>
      </c>
      <c r="D2" s="36" t="s">
        <v>27</v>
      </c>
      <c r="E2" s="37" t="s">
        <v>16</v>
      </c>
      <c r="F2" s="34"/>
    </row>
    <row r="3">
      <c r="A3" s="38"/>
      <c r="B3" s="38"/>
      <c r="C3" s="38"/>
      <c r="D3" s="39">
        <v>0.3</v>
      </c>
      <c r="E3" s="39">
        <v>0.0</v>
      </c>
      <c r="F3" s="38"/>
    </row>
    <row r="4">
      <c r="A4" s="40" t="s">
        <v>28</v>
      </c>
      <c r="B4" s="40" t="s">
        <v>29</v>
      </c>
      <c r="C4" s="40" t="s">
        <v>30</v>
      </c>
      <c r="D4" s="40" t="s">
        <v>31</v>
      </c>
      <c r="E4" s="40" t="s">
        <v>32</v>
      </c>
      <c r="F4" s="41">
        <v>15.0</v>
      </c>
    </row>
    <row r="5" ht="136.5" customHeight="1">
      <c r="A5" s="40" t="s">
        <v>33</v>
      </c>
      <c r="B5" s="40" t="s">
        <v>34</v>
      </c>
      <c r="C5" s="40" t="s">
        <v>35</v>
      </c>
      <c r="D5" s="40" t="s">
        <v>36</v>
      </c>
      <c r="E5" s="40" t="s">
        <v>37</v>
      </c>
      <c r="F5" s="41">
        <v>25.0</v>
      </c>
    </row>
    <row r="6" ht="87.0" customHeight="1">
      <c r="A6" s="40" t="s">
        <v>38</v>
      </c>
      <c r="B6" s="40" t="s">
        <v>39</v>
      </c>
      <c r="C6" s="40" t="s">
        <v>40</v>
      </c>
      <c r="D6" s="40" t="s">
        <v>41</v>
      </c>
      <c r="E6" s="40" t="s">
        <v>42</v>
      </c>
      <c r="F6" s="41">
        <v>20.0</v>
      </c>
    </row>
    <row r="7">
      <c r="A7" s="40" t="s">
        <v>43</v>
      </c>
      <c r="B7" s="40" t="s">
        <v>44</v>
      </c>
      <c r="C7" s="40" t="s">
        <v>45</v>
      </c>
      <c r="D7" s="40" t="s">
        <v>46</v>
      </c>
      <c r="E7" s="40" t="s">
        <v>47</v>
      </c>
      <c r="F7" s="41">
        <v>5.0</v>
      </c>
    </row>
    <row r="8">
      <c r="A8" s="40" t="s">
        <v>48</v>
      </c>
      <c r="B8" s="40" t="s">
        <v>49</v>
      </c>
      <c r="C8" s="40" t="s">
        <v>50</v>
      </c>
      <c r="D8" s="40" t="s">
        <v>51</v>
      </c>
      <c r="E8" s="40" t="s">
        <v>52</v>
      </c>
      <c r="F8" s="41">
        <v>5.0</v>
      </c>
    </row>
    <row r="9">
      <c r="A9" s="40" t="s">
        <v>53</v>
      </c>
      <c r="B9" s="40" t="s">
        <v>54</v>
      </c>
      <c r="C9" s="40" t="s">
        <v>55</v>
      </c>
      <c r="D9" s="40" t="s">
        <v>56</v>
      </c>
      <c r="E9" s="40" t="s">
        <v>57</v>
      </c>
      <c r="F9" s="42">
        <v>20.0</v>
      </c>
    </row>
    <row r="10" ht="126.0" customHeight="1">
      <c r="A10" s="40" t="s">
        <v>58</v>
      </c>
      <c r="B10" s="40" t="s">
        <v>59</v>
      </c>
      <c r="C10" s="40" t="s">
        <v>60</v>
      </c>
      <c r="D10" s="40" t="s">
        <v>61</v>
      </c>
      <c r="E10" s="40" t="s">
        <v>62</v>
      </c>
      <c r="F10" s="4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17</v>
      </c>
      <c r="B1" s="43" t="s">
        <v>18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63</v>
      </c>
      <c r="B1" s="43" t="s">
        <v>64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17</v>
      </c>
      <c r="B1" s="43" t="s">
        <v>18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65</v>
      </c>
      <c r="B1" s="46" t="s">
        <v>17</v>
      </c>
      <c r="C1" s="47"/>
      <c r="D1" s="47"/>
      <c r="E1" s="48"/>
    </row>
    <row r="2">
      <c r="A2" s="49"/>
      <c r="B2" s="50" t="s">
        <v>13</v>
      </c>
      <c r="C2" s="51" t="s">
        <v>14</v>
      </c>
      <c r="D2" s="51" t="s">
        <v>66</v>
      </c>
      <c r="E2" s="52" t="s">
        <v>16</v>
      </c>
    </row>
    <row r="3">
      <c r="A3" s="53" t="s">
        <v>67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